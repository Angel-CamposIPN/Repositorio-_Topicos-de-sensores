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c2c79cb31c074/Documentos/Leo_IPN/UPIIZ/6 semestre/Sensores/Practica 6_Gas/"/>
    </mc:Choice>
  </mc:AlternateContent>
  <xr:revisionPtr revIDLastSave="0" documentId="8_{32D32FB9-C323-4B2F-BBB1-D5A627A21787}" xr6:coauthVersionLast="47" xr6:coauthVersionMax="47" xr10:uidLastSave="{00000000-0000-0000-0000-000000000000}"/>
  <bookViews>
    <workbookView xWindow="-120" yWindow="-120" windowWidth="20730" windowHeight="11760" xr2:uid="{048471F0-8BFD-4B27-9898-5A84CE07E9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1" l="1"/>
  <c r="L12" i="1"/>
  <c r="L13" i="1"/>
  <c r="L10" i="1"/>
  <c r="L6" i="1"/>
  <c r="L5" i="1"/>
  <c r="L4" i="1"/>
  <c r="L3" i="1"/>
  <c r="J6" i="1"/>
  <c r="J5" i="1"/>
  <c r="J4" i="1"/>
  <c r="J3" i="1"/>
</calcChain>
</file>

<file path=xl/sharedStrings.xml><?xml version="1.0" encoding="utf-8"?>
<sst xmlns="http://schemas.openxmlformats.org/spreadsheetml/2006/main" count="10" uniqueCount="6">
  <si>
    <t>Reposo</t>
  </si>
  <si>
    <t>CO_ppm</t>
  </si>
  <si>
    <t>Etanol_ppm</t>
  </si>
  <si>
    <t>H2_ppm</t>
  </si>
  <si>
    <t>Metano_ppm</t>
  </si>
  <si>
    <t>Actividad 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</si>
</sst>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C7C1-12F1-4F59-BDD4-FD7FB9C3A4C4}">
  <dimension ref="A1:L23"/>
  <sheetViews>
    <sheetView tabSelected="1" topLeftCell="C1" zoomScale="82" workbookViewId="0">
      <selection activeCell="L13" sqref="L10:L13"/>
    </sheetView>
  </sheetViews>
  <sheetFormatPr baseColWidth="10" defaultRowHeight="15" x14ac:dyDescent="0.25"/>
  <sheetData>
    <row r="1" spans="1:12" x14ac:dyDescent="0.25">
      <c r="A1" s="1" t="s">
        <v>5</v>
      </c>
      <c r="B1" s="1"/>
      <c r="C1" s="1"/>
      <c r="D1" s="1"/>
      <c r="E1" s="1" t="s">
        <v>0</v>
      </c>
      <c r="F1" s="1"/>
      <c r="G1" s="1"/>
      <c r="H1" s="1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1</v>
      </c>
      <c r="F2" t="s">
        <v>2</v>
      </c>
      <c r="G2" t="s">
        <v>3</v>
      </c>
      <c r="H2" t="s">
        <v>4</v>
      </c>
    </row>
    <row r="3" spans="1:12" x14ac:dyDescent="0.25">
      <c r="A3">
        <v>66.430000000000007</v>
      </c>
      <c r="B3">
        <v>12.97</v>
      </c>
      <c r="C3">
        <v>4.57</v>
      </c>
      <c r="D3">
        <v>64.760000000000005</v>
      </c>
      <c r="E3">
        <v>70.48</v>
      </c>
      <c r="F3">
        <v>13.6</v>
      </c>
      <c r="G3">
        <v>4.75</v>
      </c>
      <c r="H3">
        <v>68.25</v>
      </c>
      <c r="J3">
        <f>AVERAGE(A3:A23)</f>
        <v>104.87047619047618</v>
      </c>
      <c r="L3">
        <f>AVERAGE(E3:E23)</f>
        <v>88.468571428571437</v>
      </c>
    </row>
    <row r="4" spans="1:12" x14ac:dyDescent="0.25">
      <c r="A4">
        <v>47.28</v>
      </c>
      <c r="B4">
        <v>9.85</v>
      </c>
      <c r="C4">
        <v>3.65</v>
      </c>
      <c r="D4">
        <v>47.91</v>
      </c>
      <c r="E4">
        <v>50.39</v>
      </c>
      <c r="F4">
        <v>10.37</v>
      </c>
      <c r="G4">
        <v>3.8</v>
      </c>
      <c r="H4">
        <v>50.69</v>
      </c>
      <c r="J4">
        <f>AVERAGE(B3:B23)</f>
        <v>18.379523809523807</v>
      </c>
      <c r="L4">
        <f>AVERAGE(F3:F23)</f>
        <v>16.143809523809523</v>
      </c>
    </row>
    <row r="5" spans="1:12" x14ac:dyDescent="0.25">
      <c r="A5">
        <v>210.8</v>
      </c>
      <c r="B5">
        <v>32.96</v>
      </c>
      <c r="C5">
        <v>9.82</v>
      </c>
      <c r="D5">
        <v>180.18</v>
      </c>
      <c r="E5">
        <v>33.880000000000003</v>
      </c>
      <c r="F5">
        <v>7.53</v>
      </c>
      <c r="G5">
        <v>2.92</v>
      </c>
      <c r="H5">
        <v>35.659999999999997</v>
      </c>
      <c r="J5">
        <f>AVERAGE(C3:C23)</f>
        <v>6.0019047619047612</v>
      </c>
      <c r="L5">
        <f>AVERAGE(G3:G23)</f>
        <v>5.4223809523809523</v>
      </c>
    </row>
    <row r="6" spans="1:12" x14ac:dyDescent="0.25">
      <c r="A6">
        <v>201.16</v>
      </c>
      <c r="B6">
        <v>31.74</v>
      </c>
      <c r="C6">
        <v>9.52</v>
      </c>
      <c r="D6">
        <v>172.86</v>
      </c>
      <c r="E6">
        <v>28.4</v>
      </c>
      <c r="F6">
        <v>6.53</v>
      </c>
      <c r="G6">
        <v>2.6</v>
      </c>
      <c r="H6">
        <v>30.5</v>
      </c>
      <c r="J6">
        <f>AVERAGE(D3:D23)</f>
        <v>95.809523809523796</v>
      </c>
      <c r="L6">
        <f>AVERAGE(H3:H23)</f>
        <v>82.810476190476194</v>
      </c>
    </row>
    <row r="7" spans="1:12" x14ac:dyDescent="0.25">
      <c r="A7">
        <v>58.87</v>
      </c>
      <c r="B7">
        <v>11.76</v>
      </c>
      <c r="C7">
        <v>4.22</v>
      </c>
      <c r="D7">
        <v>58.18</v>
      </c>
      <c r="E7">
        <v>52.01</v>
      </c>
      <c r="F7">
        <v>10.64</v>
      </c>
      <c r="G7">
        <v>3.88</v>
      </c>
      <c r="H7">
        <v>52.13</v>
      </c>
    </row>
    <row r="8" spans="1:12" x14ac:dyDescent="0.25">
      <c r="A8">
        <v>143.03</v>
      </c>
      <c r="B8">
        <v>24.09</v>
      </c>
      <c r="C8">
        <v>7.59</v>
      </c>
      <c r="D8">
        <v>127.77</v>
      </c>
      <c r="E8">
        <v>72.58</v>
      </c>
      <c r="F8">
        <v>13.93</v>
      </c>
      <c r="G8">
        <v>4.84</v>
      </c>
      <c r="H8">
        <v>70.040000000000006</v>
      </c>
    </row>
    <row r="9" spans="1:12" x14ac:dyDescent="0.25">
      <c r="A9">
        <v>166.04</v>
      </c>
      <c r="B9">
        <v>27.18</v>
      </c>
      <c r="C9">
        <v>8.3800000000000008</v>
      </c>
      <c r="D9">
        <v>145.83000000000001</v>
      </c>
      <c r="E9">
        <v>53.66</v>
      </c>
      <c r="F9">
        <v>10.91</v>
      </c>
      <c r="G9">
        <v>3.97</v>
      </c>
      <c r="H9">
        <v>53.6</v>
      </c>
    </row>
    <row r="10" spans="1:12" x14ac:dyDescent="0.25">
      <c r="A10">
        <v>129.13999999999999</v>
      </c>
      <c r="B10">
        <v>22.19</v>
      </c>
      <c r="C10">
        <v>7.1</v>
      </c>
      <c r="D10">
        <v>116.72</v>
      </c>
      <c r="E10">
        <v>74.72</v>
      </c>
      <c r="F10">
        <v>14.26</v>
      </c>
      <c r="G10">
        <v>4.9400000000000004</v>
      </c>
      <c r="H10">
        <v>71.87</v>
      </c>
      <c r="L10">
        <f>J3-L3</f>
        <v>16.401904761904746</v>
      </c>
    </row>
    <row r="11" spans="1:12" x14ac:dyDescent="0.25">
      <c r="A11">
        <v>150.4</v>
      </c>
      <c r="B11">
        <v>25.09</v>
      </c>
      <c r="C11">
        <v>7.85</v>
      </c>
      <c r="D11">
        <v>133.59</v>
      </c>
      <c r="E11">
        <v>96.35</v>
      </c>
      <c r="F11">
        <v>17.510000000000002</v>
      </c>
      <c r="G11">
        <v>5.84</v>
      </c>
      <c r="H11">
        <v>90.03</v>
      </c>
      <c r="L11">
        <f t="shared" ref="L11:L13" si="0">J4-L4</f>
        <v>2.235714285714284</v>
      </c>
    </row>
    <row r="12" spans="1:12" x14ac:dyDescent="0.25">
      <c r="A12">
        <v>143.03</v>
      </c>
      <c r="B12">
        <v>24.09</v>
      </c>
      <c r="C12">
        <v>7.59</v>
      </c>
      <c r="D12">
        <v>127.77</v>
      </c>
      <c r="E12">
        <v>107.41</v>
      </c>
      <c r="F12">
        <v>19.12</v>
      </c>
      <c r="G12">
        <v>6.28</v>
      </c>
      <c r="H12">
        <v>99.13</v>
      </c>
      <c r="L12">
        <f t="shared" si="0"/>
        <v>0.57952380952380889</v>
      </c>
    </row>
    <row r="13" spans="1:12" x14ac:dyDescent="0.25">
      <c r="A13">
        <v>129.13999999999999</v>
      </c>
      <c r="B13">
        <v>22.19</v>
      </c>
      <c r="C13">
        <v>7.1</v>
      </c>
      <c r="D13">
        <v>116.72</v>
      </c>
      <c r="E13">
        <v>116.34</v>
      </c>
      <c r="F13">
        <v>20.39</v>
      </c>
      <c r="G13">
        <v>6.62</v>
      </c>
      <c r="H13">
        <v>106.4</v>
      </c>
      <c r="L13">
        <f t="shared" si="0"/>
        <v>12.999047619047602</v>
      </c>
    </row>
    <row r="14" spans="1:12" x14ac:dyDescent="0.25">
      <c r="A14">
        <v>86.21</v>
      </c>
      <c r="B14">
        <v>16.010000000000002</v>
      </c>
      <c r="C14">
        <v>5.43</v>
      </c>
      <c r="D14">
        <v>81.58</v>
      </c>
      <c r="E14">
        <v>60.7</v>
      </c>
      <c r="F14">
        <v>12.06</v>
      </c>
      <c r="G14">
        <v>4.3</v>
      </c>
      <c r="H14">
        <v>59.78</v>
      </c>
    </row>
    <row r="15" spans="1:12" x14ac:dyDescent="0.25">
      <c r="A15">
        <v>110.32</v>
      </c>
      <c r="B15">
        <v>19.54</v>
      </c>
      <c r="C15">
        <v>6.39</v>
      </c>
      <c r="D15">
        <v>101.51</v>
      </c>
      <c r="E15">
        <v>110.32</v>
      </c>
      <c r="F15">
        <v>19.54</v>
      </c>
      <c r="G15">
        <v>6.39</v>
      </c>
      <c r="H15">
        <v>101.51</v>
      </c>
    </row>
    <row r="16" spans="1:12" x14ac:dyDescent="0.25">
      <c r="A16">
        <v>66.430000000000007</v>
      </c>
      <c r="B16">
        <v>12.97</v>
      </c>
      <c r="C16">
        <v>4.57</v>
      </c>
      <c r="D16">
        <v>64.760000000000005</v>
      </c>
      <c r="E16">
        <v>129.13999999999999</v>
      </c>
      <c r="F16">
        <v>22.19</v>
      </c>
      <c r="G16">
        <v>7.1</v>
      </c>
      <c r="H16">
        <v>116.72</v>
      </c>
    </row>
    <row r="17" spans="1:8" x14ac:dyDescent="0.25">
      <c r="A17">
        <v>107.41</v>
      </c>
      <c r="B17">
        <v>19.12</v>
      </c>
      <c r="C17">
        <v>6.28</v>
      </c>
      <c r="D17">
        <v>99.13</v>
      </c>
      <c r="E17">
        <v>81.459999999999994</v>
      </c>
      <c r="F17">
        <v>15.29</v>
      </c>
      <c r="G17">
        <v>5.23</v>
      </c>
      <c r="H17">
        <v>77.59</v>
      </c>
    </row>
    <row r="18" spans="1:8" x14ac:dyDescent="0.25">
      <c r="A18">
        <v>104.56</v>
      </c>
      <c r="B18">
        <v>18.71</v>
      </c>
      <c r="C18">
        <v>6.17</v>
      </c>
      <c r="D18">
        <v>96.8</v>
      </c>
      <c r="E18">
        <v>122.61</v>
      </c>
      <c r="F18">
        <v>21.28</v>
      </c>
      <c r="G18">
        <v>6.86</v>
      </c>
      <c r="H18">
        <v>111.47</v>
      </c>
    </row>
    <row r="19" spans="1:8" x14ac:dyDescent="0.25">
      <c r="A19">
        <v>99.03</v>
      </c>
      <c r="B19">
        <v>17.899999999999999</v>
      </c>
      <c r="C19">
        <v>5.95</v>
      </c>
      <c r="D19">
        <v>92.25</v>
      </c>
      <c r="E19">
        <v>139.44999999999999</v>
      </c>
      <c r="F19">
        <v>23.61</v>
      </c>
      <c r="G19">
        <v>7.47</v>
      </c>
      <c r="H19">
        <v>124.94</v>
      </c>
    </row>
    <row r="20" spans="1:8" x14ac:dyDescent="0.25">
      <c r="A20">
        <v>28.4</v>
      </c>
      <c r="B20">
        <v>6.53</v>
      </c>
      <c r="C20">
        <v>2.6</v>
      </c>
      <c r="D20">
        <v>30.5</v>
      </c>
      <c r="E20">
        <v>110.32</v>
      </c>
      <c r="F20">
        <v>19.54</v>
      </c>
      <c r="G20">
        <v>6.39</v>
      </c>
      <c r="H20">
        <v>101.51</v>
      </c>
    </row>
    <row r="21" spans="1:8" x14ac:dyDescent="0.25">
      <c r="A21">
        <v>88.66</v>
      </c>
      <c r="B21">
        <v>16.37</v>
      </c>
      <c r="C21">
        <v>5.53</v>
      </c>
      <c r="D21">
        <v>83.63</v>
      </c>
      <c r="E21">
        <v>135.94999999999999</v>
      </c>
      <c r="F21">
        <v>23.13</v>
      </c>
      <c r="G21">
        <v>7.34</v>
      </c>
      <c r="H21">
        <v>122.15</v>
      </c>
    </row>
    <row r="22" spans="1:8" x14ac:dyDescent="0.25">
      <c r="A22">
        <v>37.54</v>
      </c>
      <c r="B22">
        <v>8.18</v>
      </c>
      <c r="C22">
        <v>3.13</v>
      </c>
      <c r="D22">
        <v>39.049999999999997</v>
      </c>
      <c r="E22">
        <v>79.16</v>
      </c>
      <c r="F22">
        <v>14.94</v>
      </c>
      <c r="G22">
        <v>5.13</v>
      </c>
      <c r="H22">
        <v>75.64</v>
      </c>
    </row>
    <row r="23" spans="1:8" x14ac:dyDescent="0.25">
      <c r="A23">
        <v>28.4</v>
      </c>
      <c r="B23">
        <v>6.53</v>
      </c>
      <c r="C23">
        <v>2.6</v>
      </c>
      <c r="D23">
        <v>30.5</v>
      </c>
      <c r="E23">
        <v>132.51</v>
      </c>
      <c r="F23">
        <v>22.65</v>
      </c>
      <c r="G23">
        <v>7.22</v>
      </c>
      <c r="H23">
        <v>119.41</v>
      </c>
    </row>
  </sheetData>
  <mergeCells count="2"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Pacheco Trujillo</dc:creator>
  <cp:lastModifiedBy>Leonardo Pacheco Trujillo</cp:lastModifiedBy>
  <dcterms:created xsi:type="dcterms:W3CDTF">2026-06-03T03:38:34Z</dcterms:created>
  <dcterms:modified xsi:type="dcterms:W3CDTF">2026-06-03T04:25:52Z</dcterms:modified>
</cp:coreProperties>
</file>